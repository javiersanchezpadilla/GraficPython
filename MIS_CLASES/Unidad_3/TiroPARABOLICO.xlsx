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as" sheetId="1" state="visible" r:id="rId3"/>
    <sheet name="Aplicac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<sst xmlns="http://schemas.openxmlformats.org/spreadsheetml/2006/main" count="19" uniqueCount="17">
  <si>
    <t xml:space="preserve">Para graficar los puntos en el eje</t>
  </si>
  <si>
    <t xml:space="preserve">Referencia:</t>
  </si>
  <si>
    <t xml:space="preserve">https://www.youtube.com/watch?v=miaUTvQXG3I</t>
  </si>
  <si>
    <t xml:space="preserve">X</t>
  </si>
  <si>
    <t xml:space="preserve">Y</t>
  </si>
  <si>
    <t xml:space="preserve">G</t>
  </si>
  <si>
    <t xml:space="preserve">mts/s</t>
  </si>
  <si>
    <t xml:space="preserve">PI=</t>
  </si>
  <si>
    <t xml:space="preserve">SOLO CAPTURAR VALORES AQUÍ:</t>
  </si>
  <si>
    <t xml:space="preserve">Vo=</t>
  </si>
  <si>
    <t xml:space="preserve">Angulo (a)</t>
  </si>
  <si>
    <t xml:space="preserve">Increment</t>
  </si>
  <si>
    <t xml:space="preserve">Altura Max. (h)</t>
  </si>
  <si>
    <t xml:space="preserve">Mts.</t>
  </si>
  <si>
    <t xml:space="preserve">Alcance Max. (d)</t>
  </si>
  <si>
    <t xml:space="preserve">Tiempo Max. (t)</t>
  </si>
  <si>
    <t xml:space="preserve">Seg.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</si>
</sst>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4"/>
      <color rgb="FF757575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4F81BD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Tiro Parabolico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marker>
            <c:symbol val="circle"/>
            <c:size val="7"/>
            <c:spPr>
              <a:solidFill>
                <a:srgbClr val="4F81BD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26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Aplicacion!$F$3:$F$28</c:f>
              <c:numCache>
                <c:formatCode>General</c:formatCode>
                <c:ptCount val="26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</c:numCache>
            </c:numRef>
          </c:xVal>
          <c:yVal>
            <c:numRef>
              <c:f>Aplicacion!$G$3:$G$28</c:f>
              <c:numCache>
                <c:formatCode>General</c:formatCode>
                <c:ptCount val="26"/>
                <c:pt idx="0">
                  <c:v>0</c:v>
                </c:pt>
                <c:pt idx="1">
                  <c:v>116.210523422283</c:v>
                </c:pt>
                <c:pt idx="2">
                  <c:v>226.491368929981</c:v>
                </c:pt>
                <c:pt idx="3">
                  <c:v>330.842536523096</c:v>
                </c:pt>
                <c:pt idx="4">
                  <c:v>429.264026201626</c:v>
                </c:pt>
                <c:pt idx="5">
                  <c:v>521.755837965572</c:v>
                </c:pt>
                <c:pt idx="6">
                  <c:v>608.317971814933</c:v>
                </c:pt>
                <c:pt idx="7">
                  <c:v>688.950427749711</c:v>
                </c:pt>
                <c:pt idx="8">
                  <c:v>763.653205769904</c:v>
                </c:pt>
                <c:pt idx="9">
                  <c:v>832.426305875512</c:v>
                </c:pt>
                <c:pt idx="10">
                  <c:v>895.269728066537</c:v>
                </c:pt>
                <c:pt idx="11">
                  <c:v>952.183472342978</c:v>
                </c:pt>
                <c:pt idx="12">
                  <c:v>1003.16753870483</c:v>
                </c:pt>
                <c:pt idx="13">
                  <c:v>1048.22192715211</c:v>
                </c:pt>
                <c:pt idx="14">
                  <c:v>1087.34663768479</c:v>
                </c:pt>
                <c:pt idx="15">
                  <c:v>1120.5416703029</c:v>
                </c:pt>
                <c:pt idx="16">
                  <c:v>1147.80702500642</c:v>
                </c:pt>
                <c:pt idx="17">
                  <c:v>1169.14270179535</c:v>
                </c:pt>
                <c:pt idx="18">
                  <c:v>1184.5487006697</c:v>
                </c:pt>
                <c:pt idx="19">
                  <c:v>1194.02502162947</c:v>
                </c:pt>
                <c:pt idx="20">
                  <c:v>1197.57166467465</c:v>
                </c:pt>
                <c:pt idx="21">
                  <c:v>1195.18862980525</c:v>
                </c:pt>
                <c:pt idx="22">
                  <c:v>1186.87591702126</c:v>
                </c:pt>
                <c:pt idx="23">
                  <c:v>1172.63352632269</c:v>
                </c:pt>
                <c:pt idx="24">
                  <c:v>1152.46145770954</c:v>
                </c:pt>
                <c:pt idx="25">
                  <c:v>1126.3597111818</c:v>
                </c:pt>
              </c:numCache>
            </c:numRef>
          </c:yVal>
          <c:smooth val="1"/>
        </c:ser>
        <c:axId val="69381465"/>
        <c:axId val="60265406"/>
      </c:scatterChart>
      <c:valAx>
        <c:axId val="69381465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0265406"/>
        <c:crosses val="autoZero"/>
        <c:crossBetween val="midCat"/>
      </c:valAx>
      <c:valAx>
        <c:axId val="6026540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6938146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609480</xdr:colOff>
      <xdr:row>18</xdr:row>
      <xdr:rowOff>85680</xdr:rowOff>
    </xdr:from>
    <xdr:to>
      <xdr:col>11</xdr:col>
      <xdr:colOff>493560</xdr:colOff>
      <xdr:row>21</xdr:row>
      <xdr:rowOff>28080</xdr:rowOff>
    </xdr:to>
    <xdr:pic>
      <xdr:nvPicPr>
        <xdr:cNvPr id="1" name="image2.png"/>
        <xdr:cNvPicPr/>
      </xdr:nvPicPr>
      <xdr:blipFill>
        <a:blip r:embed="rId1"/>
        <a:stretch/>
      </xdr:blipFill>
      <xdr:spPr>
        <a:xfrm>
          <a:off x="2461680" y="3448080"/>
          <a:ext cx="592416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57240</xdr:colOff>
      <xdr:row>0</xdr:row>
      <xdr:rowOff>47520</xdr:rowOff>
    </xdr:from>
    <xdr:to>
      <xdr:col>10</xdr:col>
      <xdr:colOff>484200</xdr:colOff>
      <xdr:row>18</xdr:row>
      <xdr:rowOff>85320</xdr:rowOff>
    </xdr:to>
    <xdr:pic>
      <xdr:nvPicPr>
        <xdr:cNvPr id="2" name="image8.png"/>
        <xdr:cNvPicPr/>
      </xdr:nvPicPr>
      <xdr:blipFill>
        <a:blip r:embed="rId2"/>
        <a:stretch/>
      </xdr:blipFill>
      <xdr:spPr>
        <a:xfrm>
          <a:off x="1154520" y="47520"/>
          <a:ext cx="6467040" cy="340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66600</xdr:colOff>
      <xdr:row>0</xdr:row>
      <xdr:rowOff>38160</xdr:rowOff>
    </xdr:from>
    <xdr:to>
      <xdr:col>16</xdr:col>
      <xdr:colOff>141840</xdr:colOff>
      <xdr:row>5</xdr:row>
      <xdr:rowOff>18720</xdr:rowOff>
    </xdr:to>
    <xdr:pic>
      <xdr:nvPicPr>
        <xdr:cNvPr id="3" name="image5.png"/>
        <xdr:cNvPicPr/>
      </xdr:nvPicPr>
      <xdr:blipFill>
        <a:blip r:embed="rId3"/>
        <a:stretch/>
      </xdr:blipFill>
      <xdr:spPr>
        <a:xfrm>
          <a:off x="8714160" y="38160"/>
          <a:ext cx="3095280" cy="93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57240</xdr:colOff>
      <xdr:row>6</xdr:row>
      <xdr:rowOff>28440</xdr:rowOff>
    </xdr:from>
    <xdr:to>
      <xdr:col>16</xdr:col>
      <xdr:colOff>170640</xdr:colOff>
      <xdr:row>10</xdr:row>
      <xdr:rowOff>180360</xdr:rowOff>
    </xdr:to>
    <xdr:pic>
      <xdr:nvPicPr>
        <xdr:cNvPr id="4" name="image1.png"/>
        <xdr:cNvPicPr/>
      </xdr:nvPicPr>
      <xdr:blipFill>
        <a:blip r:embed="rId4"/>
        <a:stretch/>
      </xdr:blipFill>
      <xdr:spPr>
        <a:xfrm>
          <a:off x="8704800" y="1171440"/>
          <a:ext cx="313344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47520</xdr:colOff>
      <xdr:row>12</xdr:row>
      <xdr:rowOff>38160</xdr:rowOff>
    </xdr:from>
    <xdr:to>
      <xdr:col>15</xdr:col>
      <xdr:colOff>144720</xdr:colOff>
      <xdr:row>16</xdr:row>
      <xdr:rowOff>180720</xdr:rowOff>
    </xdr:to>
    <xdr:pic>
      <xdr:nvPicPr>
        <xdr:cNvPr id="5" name="image7.png"/>
        <xdr:cNvPicPr/>
      </xdr:nvPicPr>
      <xdr:blipFill>
        <a:blip r:embed="rId5"/>
        <a:stretch/>
      </xdr:blipFill>
      <xdr:spPr>
        <a:xfrm>
          <a:off x="8695080" y="2324160"/>
          <a:ext cx="2361960" cy="904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9360</xdr:colOff>
      <xdr:row>4</xdr:row>
      <xdr:rowOff>28440</xdr:rowOff>
    </xdr:from>
    <xdr:to>
      <xdr:col>16</xdr:col>
      <xdr:colOff>539280</xdr:colOff>
      <xdr:row>19</xdr:row>
      <xdr:rowOff>75960</xdr:rowOff>
    </xdr:to>
    <xdr:graphicFrame>
      <xdr:nvGraphicFramePr>
        <xdr:cNvPr id="6" name="Chart 1"/>
        <xdr:cNvGraphicFramePr/>
      </xdr:nvGraphicFramePr>
      <xdr:xfrm>
        <a:off x="5658840" y="790560"/>
        <a:ext cx="5686200" cy="2904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47520</xdr:colOff>
      <xdr:row>0</xdr:row>
      <xdr:rowOff>95400</xdr:rowOff>
    </xdr:from>
    <xdr:to>
      <xdr:col>17</xdr:col>
      <xdr:colOff>590040</xdr:colOff>
      <xdr:row>3</xdr:row>
      <xdr:rowOff>47160</xdr:rowOff>
    </xdr:to>
    <xdr:pic>
      <xdr:nvPicPr>
        <xdr:cNvPr id="7" name="image2.png"/>
        <xdr:cNvPicPr/>
      </xdr:nvPicPr>
      <xdr:blipFill>
        <a:blip r:embed="rId2"/>
        <a:stretch/>
      </xdr:blipFill>
      <xdr:spPr>
        <a:xfrm>
          <a:off x="5697000" y="95400"/>
          <a:ext cx="634320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12</xdr:col>
      <xdr:colOff>66600</xdr:colOff>
      <xdr:row>19</xdr:row>
      <xdr:rowOff>133200</xdr:rowOff>
    </xdr:from>
    <xdr:to>
      <xdr:col>15</xdr:col>
      <xdr:colOff>495000</xdr:colOff>
      <xdr:row>23</xdr:row>
      <xdr:rowOff>9000</xdr:rowOff>
    </xdr:to>
    <xdr:pic>
      <xdr:nvPicPr>
        <xdr:cNvPr id="8" name="image1.png"/>
        <xdr:cNvPicPr/>
      </xdr:nvPicPr>
      <xdr:blipFill>
        <a:blip r:embed="rId3"/>
        <a:stretch/>
      </xdr:blipFill>
      <xdr:spPr>
        <a:xfrm>
          <a:off x="8294400" y="3752640"/>
          <a:ext cx="236196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114480</xdr:colOff>
      <xdr:row>19</xdr:row>
      <xdr:rowOff>123840</xdr:rowOff>
    </xdr:from>
    <xdr:to>
      <xdr:col>19</xdr:col>
      <xdr:colOff>247320</xdr:colOff>
      <xdr:row>23</xdr:row>
      <xdr:rowOff>95040</xdr:rowOff>
    </xdr:to>
    <xdr:pic>
      <xdr:nvPicPr>
        <xdr:cNvPr id="9" name="image7.png"/>
        <xdr:cNvPicPr/>
      </xdr:nvPicPr>
      <xdr:blipFill>
        <a:blip r:embed="rId4"/>
        <a:stretch/>
      </xdr:blipFill>
      <xdr:spPr>
        <a:xfrm>
          <a:off x="10920240" y="3743280"/>
          <a:ext cx="2066400" cy="761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38160</xdr:colOff>
      <xdr:row>19</xdr:row>
      <xdr:rowOff>104760</xdr:rowOff>
    </xdr:from>
    <xdr:to>
      <xdr:col>11</xdr:col>
      <xdr:colOff>390240</xdr:colOff>
      <xdr:row>22</xdr:row>
      <xdr:rowOff>171000</xdr:rowOff>
    </xdr:to>
    <xdr:pic>
      <xdr:nvPicPr>
        <xdr:cNvPr id="10" name="image5.png"/>
        <xdr:cNvPicPr/>
      </xdr:nvPicPr>
      <xdr:blipFill>
        <a:blip r:embed="rId5"/>
        <a:stretch/>
      </xdr:blipFill>
      <xdr:spPr>
        <a:xfrm>
          <a:off x="5687640" y="3724200"/>
          <a:ext cx="2285640" cy="6570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8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3" activeCellId="0" sqref="E3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.86"/>
    <col collapsed="false" customWidth="true" hidden="false" outlineLevel="0" max="26" min="2" style="0" width="10.71"/>
  </cols>
  <sheetData>
    <row r="18" customFormat="false" ht="9.75" hidden="false" customHeight="true" outlineLevel="0" collapsed="false"/>
    <row r="20" customFormat="false" ht="15" hidden="false" customHeight="false" outlineLevel="0" collapsed="false">
      <c r="B20" s="1" t="s"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>
      <c r="K23" s="2" t="s">
        <v>1</v>
      </c>
      <c r="L23" s="3" t="s">
        <v>2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2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5.14"/>
    <col collapsed="false" customWidth="true" hidden="false" outlineLevel="0" max="3" min="3" style="0" width="11.85"/>
    <col collapsed="false" customWidth="true" hidden="false" outlineLevel="0" max="6" min="4" style="0" width="9.14"/>
    <col collapsed="false" customWidth="true" hidden="false" outlineLevel="0" max="7" min="7" style="0" width="12.29"/>
    <col collapsed="false" customWidth="true" hidden="false" outlineLevel="0" max="26" min="8" style="0" width="9.14"/>
  </cols>
  <sheetData>
    <row r="2" customFormat="false" ht="15" hidden="false" customHeight="false" outlineLevel="0" collapsed="false">
      <c r="F2" s="4" t="s">
        <v>3</v>
      </c>
      <c r="G2" s="4" t="s">
        <v>4</v>
      </c>
    </row>
    <row r="3" customFormat="false" ht="15" hidden="false" customHeight="false" outlineLevel="0" collapsed="false">
      <c r="B3" s="5" t="s">
        <v>5</v>
      </c>
      <c r="C3" s="1" t="n">
        <v>9.8</v>
      </c>
      <c r="D3" s="1" t="s">
        <v>6</v>
      </c>
      <c r="F3" s="1" t="n">
        <v>0</v>
      </c>
      <c r="G3" s="1" t="n">
        <f aca="false">(F3*TAN(C8*3.1416/180))-($C$3*F3*F3)/(2*$C$7*$C$7*(COS($C$8*3.1416/180))*(COS($C$8*3.1416/180)))</f>
        <v>0</v>
      </c>
    </row>
    <row r="4" customFormat="false" ht="15" hidden="false" customHeight="false" outlineLevel="0" collapsed="false">
      <c r="B4" s="5" t="s">
        <v>7</v>
      </c>
      <c r="C4" s="1" t="n">
        <v>3.1415927</v>
      </c>
      <c r="F4" s="1" t="n">
        <f aca="false">F3+$C$9</f>
        <v>100</v>
      </c>
      <c r="G4" s="1" t="n">
        <f aca="false">(F4*TAN($C$8*$C$4/180))-(($C$3*F4^2)/(2*$C$7^2*(COS($C$8*$C$4/180))^2))</f>
        <v>116.210523422283</v>
      </c>
    </row>
    <row r="5" customFormat="false" ht="15" hidden="false" customHeight="false" outlineLevel="0" collapsed="false">
      <c r="F5" s="1" t="n">
        <f aca="false">F4+$C$9</f>
        <v>200</v>
      </c>
      <c r="G5" s="1" t="n">
        <f aca="false">(F5*TAN($C$8*$C$4/180))-(($C$3*F5^2)/(2*$C$7^2*(COS($C$8*$C$4/180))^2))</f>
        <v>226.491368929981</v>
      </c>
    </row>
    <row r="6" customFormat="false" ht="15" hidden="false" customHeight="false" outlineLevel="0" collapsed="false">
      <c r="B6" s="6" t="s">
        <v>8</v>
      </c>
      <c r="F6" s="1" t="n">
        <f aca="false">F5+$C$9</f>
        <v>300</v>
      </c>
      <c r="G6" s="1" t="n">
        <f aca="false">(F6*TAN($C$8*$C$4/180))-(($C$3*F6^2)/(2*$C$7^2*(COS($C$8*$C$4/180))^2))</f>
        <v>330.842536523096</v>
      </c>
    </row>
    <row r="7" customFormat="false" ht="15" hidden="false" customHeight="false" outlineLevel="0" collapsed="false">
      <c r="B7" s="7" t="s">
        <v>9</v>
      </c>
      <c r="C7" s="8" t="n">
        <v>200</v>
      </c>
      <c r="D7" s="9" t="s">
        <v>6</v>
      </c>
      <c r="F7" s="1" t="n">
        <f aca="false">F6+$C$9</f>
        <v>400</v>
      </c>
      <c r="G7" s="1" t="n">
        <f aca="false">(F7*TAN($C$8*$C$4/180))-(($C$3*F7^2)/(2*$C$7^2*(COS($C$8*$C$4/180))^2))</f>
        <v>429.264026201626</v>
      </c>
    </row>
    <row r="8" customFormat="false" ht="15" hidden="false" customHeight="false" outlineLevel="0" collapsed="false">
      <c r="B8" s="7" t="s">
        <v>10</v>
      </c>
      <c r="C8" s="8" t="n">
        <v>50</v>
      </c>
      <c r="D8" s="9" t="n">
        <f aca="false">C8*C4/180</f>
        <v>0.872664638888889</v>
      </c>
      <c r="F8" s="1" t="n">
        <f aca="false">F7+$C$9</f>
        <v>500</v>
      </c>
      <c r="G8" s="1" t="n">
        <f aca="false">(F8*TAN($C$8*$C$4/180))-(($C$3*F8^2)/(2*$C$7^2*(COS($C$8*$C$4/180))^2))</f>
        <v>521.755837965572</v>
      </c>
    </row>
    <row r="9" customFormat="false" ht="15" hidden="false" customHeight="false" outlineLevel="0" collapsed="false">
      <c r="B9" s="7" t="s">
        <v>11</v>
      </c>
      <c r="C9" s="8" t="n">
        <v>100</v>
      </c>
      <c r="D9" s="9"/>
      <c r="F9" s="1" t="n">
        <f aca="false">F8+$C$9</f>
        <v>600</v>
      </c>
      <c r="G9" s="1" t="n">
        <f aca="false">(F9*TAN($C$8*$C$4/180))-(($C$3*F9^2)/(2*$C$7^2*(COS($C$8*$C$4/180))^2))</f>
        <v>608.317971814933</v>
      </c>
    </row>
    <row r="10" customFormat="false" ht="15" hidden="false" customHeight="false" outlineLevel="0" collapsed="false">
      <c r="F10" s="1" t="n">
        <f aca="false">F9+$C$9</f>
        <v>700</v>
      </c>
      <c r="G10" s="1" t="n">
        <f aca="false">(F10*TAN($C$8*$C$4/180))-(($C$3*F10^2)/(2*$C$7^2*(COS($C$8*$C$4/180))^2))</f>
        <v>688.950427749711</v>
      </c>
    </row>
    <row r="11" customFormat="false" ht="15" hidden="false" customHeight="false" outlineLevel="0" collapsed="false">
      <c r="F11" s="1" t="n">
        <f aca="false">F10+$C$9</f>
        <v>800</v>
      </c>
      <c r="G11" s="1" t="n">
        <f aca="false">(F11*TAN($C$8*$C$4/180))-(($C$3*F11^2)/(2*$C$7^2*(COS($C$8*$C$4/180))^2))</f>
        <v>763.653205769904</v>
      </c>
    </row>
    <row r="12" customFormat="false" ht="15" hidden="false" customHeight="false" outlineLevel="0" collapsed="false">
      <c r="B12" s="5" t="s">
        <v>12</v>
      </c>
      <c r="C12" s="1" t="n">
        <f aca="false">((C7*SIN(C8*C4/180))^2)/(2*C3)</f>
        <v>1197.60020720272</v>
      </c>
      <c r="D12" s="1" t="s">
        <v>13</v>
      </c>
      <c r="F12" s="1" t="n">
        <f aca="false">F11+$C$9</f>
        <v>900</v>
      </c>
      <c r="G12" s="1" t="n">
        <f aca="false">(F12*TAN($C$8*$C$4/180))-(($C$3*F12^2)/(2*$C$7^2*(COS($C$8*$C$4/180))^2))</f>
        <v>832.426305875512</v>
      </c>
    </row>
    <row r="13" customFormat="false" ht="15" hidden="false" customHeight="false" outlineLevel="0" collapsed="false">
      <c r="B13" s="5" t="s">
        <v>14</v>
      </c>
      <c r="C13" s="1" t="n">
        <f aca="false">((C7^2)*SIN(2*C8*C4/180))/C3</f>
        <v>4019.623463408</v>
      </c>
      <c r="D13" s="1" t="s">
        <v>13</v>
      </c>
      <c r="F13" s="1" t="n">
        <f aca="false">F12+$C$9</f>
        <v>1000</v>
      </c>
      <c r="G13" s="1" t="n">
        <f aca="false">(F13*TAN($C$8*$C$4/180))-(($C$3*F13^2)/(2*$C$7^2*(COS($C$8*$C$4/180))^2))</f>
        <v>895.269728066537</v>
      </c>
    </row>
    <row r="14" customFormat="false" ht="15" hidden="false" customHeight="false" outlineLevel="0" collapsed="false">
      <c r="B14" s="5" t="s">
        <v>15</v>
      </c>
      <c r="C14" s="1" t="n">
        <f aca="false">(C7*SIN(C8*C4/180))/C3</f>
        <v>15.6335602327677</v>
      </c>
      <c r="D14" s="1" t="s">
        <v>16</v>
      </c>
      <c r="F14" s="1" t="n">
        <f aca="false">F13+$C$9</f>
        <v>1100</v>
      </c>
      <c r="G14" s="1" t="n">
        <f aca="false">(F14*TAN($C$8*$C$4/180))-(($C$3*F14^2)/(2*$C$7^2*(COS($C$8*$C$4/180))^2))</f>
        <v>952.183472342978</v>
      </c>
    </row>
    <row r="15" customFormat="false" ht="15" hidden="false" customHeight="false" outlineLevel="0" collapsed="false">
      <c r="F15" s="1" t="n">
        <f aca="false">F14+$C$9</f>
        <v>1200</v>
      </c>
      <c r="G15" s="1" t="n">
        <f aca="false">(F15*TAN($C$8*$C$4/180))-(($C$3*F15^2)/(2*$C$7^2*(COS($C$8*$C$4/180))^2))</f>
        <v>1003.16753870483</v>
      </c>
    </row>
    <row r="16" customFormat="false" ht="15" hidden="false" customHeight="false" outlineLevel="0" collapsed="false">
      <c r="F16" s="1" t="n">
        <f aca="false">F15+$C$9</f>
        <v>1300</v>
      </c>
      <c r="G16" s="1" t="n">
        <f aca="false">(F16*TAN($C$8*$C$4/180))-(($C$3*F16^2)/(2*$C$7^2*(COS($C$8*$C$4/180))^2))</f>
        <v>1048.22192715211</v>
      </c>
    </row>
    <row r="17" customFormat="false" ht="15" hidden="false" customHeight="false" outlineLevel="0" collapsed="false">
      <c r="F17" s="1" t="n">
        <f aca="false">F16+$C$9</f>
        <v>1400</v>
      </c>
      <c r="G17" s="1" t="n">
        <f aca="false">(F17*TAN($C$8*$C$4/180))-(($C$3*F17^2)/(2*$C$7^2*(COS($C$8*$C$4/180))^2))</f>
        <v>1087.34663768479</v>
      </c>
    </row>
    <row r="18" customFormat="false" ht="15" hidden="false" customHeight="false" outlineLevel="0" collapsed="false">
      <c r="F18" s="1" t="n">
        <f aca="false">F17+$C$9</f>
        <v>1500</v>
      </c>
      <c r="G18" s="1" t="n">
        <f aca="false">(F18*TAN($C$8*$C$4/180))-(($C$3*F18^2)/(2*$C$7^2*(COS($C$8*$C$4/180))^2))</f>
        <v>1120.5416703029</v>
      </c>
    </row>
    <row r="19" customFormat="false" ht="15" hidden="false" customHeight="false" outlineLevel="0" collapsed="false">
      <c r="F19" s="1" t="n">
        <f aca="false">F18+$C$9</f>
        <v>1600</v>
      </c>
      <c r="G19" s="1" t="n">
        <f aca="false">(F19*TAN($C$8*$C$4/180))-(($C$3*F19^2)/(2*$C$7^2*(COS($C$8*$C$4/180))^2))</f>
        <v>1147.80702500642</v>
      </c>
    </row>
    <row r="20" customFormat="false" ht="15" hidden="false" customHeight="false" outlineLevel="0" collapsed="false">
      <c r="F20" s="1" t="n">
        <f aca="false">F19+$C$9</f>
        <v>1700</v>
      </c>
      <c r="G20" s="1" t="n">
        <f aca="false">(F20*TAN($C$8*$C$4/180))-(($C$3*F20^2)/(2*$C$7^2*(COS($C$8*$C$4/180))^2))</f>
        <v>1169.14270179535</v>
      </c>
    </row>
    <row r="21" customFormat="false" ht="15.75" hidden="false" customHeight="true" outlineLevel="0" collapsed="false">
      <c r="F21" s="1" t="n">
        <f aca="false">F20+$C$9</f>
        <v>1800</v>
      </c>
      <c r="G21" s="1" t="n">
        <f aca="false">(F21*TAN($C$8*$C$4/180))-(($C$3*F21^2)/(2*$C$7^2*(COS($C$8*$C$4/180))^2))</f>
        <v>1184.5487006697</v>
      </c>
    </row>
    <row r="22" customFormat="false" ht="15.75" hidden="false" customHeight="true" outlineLevel="0" collapsed="false">
      <c r="F22" s="1" t="n">
        <f aca="false">F21+$C$9</f>
        <v>1900</v>
      </c>
      <c r="G22" s="1" t="n">
        <f aca="false">(F22*TAN($C$8*$C$4/180))-(($C$3*F22^2)/(2*$C$7^2*(COS($C$8*$C$4/180))^2))</f>
        <v>1194.02502162947</v>
      </c>
    </row>
    <row r="23" customFormat="false" ht="15.75" hidden="false" customHeight="true" outlineLevel="0" collapsed="false">
      <c r="F23" s="1" t="n">
        <f aca="false">F22+$C$9</f>
        <v>2000</v>
      </c>
      <c r="G23" s="1" t="n">
        <f aca="false">(F23*TAN($C$8*$C$4/180))-(($C$3*F23^2)/(2*$C$7^2*(COS($C$8*$C$4/180))^2))</f>
        <v>1197.57166467465</v>
      </c>
    </row>
    <row r="24" customFormat="false" ht="15.75" hidden="false" customHeight="true" outlineLevel="0" collapsed="false">
      <c r="F24" s="1" t="n">
        <f aca="false">F23+$C$9</f>
        <v>2100</v>
      </c>
      <c r="G24" s="1" t="n">
        <f aca="false">(F24*TAN($C$8*$C$4/180))-(($C$3*F24^2)/(2*$C$7^2*(COS($C$8*$C$4/180))^2))</f>
        <v>1195.18862980525</v>
      </c>
    </row>
    <row r="25" customFormat="false" ht="15.75" hidden="false" customHeight="true" outlineLevel="0" collapsed="false">
      <c r="F25" s="1" t="n">
        <f aca="false">F24+$C$9</f>
        <v>2200</v>
      </c>
      <c r="G25" s="1" t="n">
        <f aca="false">(F25*TAN($C$8*$C$4/180))-(($C$3*F25^2)/(2*$C$7^2*(COS($C$8*$C$4/180))^2))</f>
        <v>1186.87591702126</v>
      </c>
    </row>
    <row r="26" customFormat="false" ht="15.75" hidden="false" customHeight="true" outlineLevel="0" collapsed="false">
      <c r="F26" s="1" t="n">
        <f aca="false">F25+$C$9</f>
        <v>2300</v>
      </c>
      <c r="G26" s="1" t="n">
        <f aca="false">(F26*TAN($C$8*$C$4/180))-(($C$3*F26^2)/(2*$C$7^2*(COS($C$8*$C$4/180))^2))</f>
        <v>1172.63352632269</v>
      </c>
    </row>
    <row r="27" customFormat="false" ht="15.75" hidden="false" customHeight="true" outlineLevel="0" collapsed="false">
      <c r="F27" s="1" t="n">
        <f aca="false">F26+$C$9</f>
        <v>2400</v>
      </c>
      <c r="G27" s="1" t="n">
        <f aca="false">(F27*TAN($C$8*$C$4/180))-(($C$3*F27^2)/(2*$C$7^2*(COS($C$8*$C$4/180))^2))</f>
        <v>1152.46145770954</v>
      </c>
    </row>
    <row r="28" customFormat="false" ht="15.75" hidden="false" customHeight="true" outlineLevel="0" collapsed="false">
      <c r="F28" s="1" t="n">
        <f aca="false">F27+$C$9</f>
        <v>2500</v>
      </c>
      <c r="G28" s="1" t="n">
        <f aca="false">(F28*TAN($C$8*$C$4/180))-(($C$3*F28^2)/(2*$C$7^2*(COS($C$8*$C$4/180))^2))</f>
        <v>1126.3597111818</v>
      </c>
    </row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es-ES</dc:language>
  <cp:lastModifiedBy/>
  <dcterms:modified xsi:type="dcterms:W3CDTF">2026-04-26T09:55:36Z</dcterms:modified>
  <cp:revision>1</cp:revision>
  <dc:subject/>
  <dc:title/>
</cp:coreProperties>
</file>